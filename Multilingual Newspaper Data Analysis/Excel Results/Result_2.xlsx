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ander Chris\OneDrive\Desktop\Multilingual Newspaper Data Analysis\Excel Results\"/>
    </mc:Choice>
  </mc:AlternateContent>
  <bookViews>
    <workbookView xWindow="0" yWindow="0" windowWidth="20490" windowHeight="7230" activeTab="3"/>
  </bookViews>
  <sheets>
    <sheet name="Sheet2" sheetId="2" r:id="rId1"/>
    <sheet name="Sheet3" sheetId="3" r:id="rId2"/>
    <sheet name="Sheet4" sheetId="4" r:id="rId3"/>
    <sheet name="Sheet1" sheetId="1" r:id="rId4"/>
  </sheets>
  <calcPr calcId="162913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  <c r="C17" i="1"/>
</calcChain>
</file>

<file path=xl/sharedStrings.xml><?xml version="1.0" encoding="utf-8"?>
<sst xmlns="http://schemas.openxmlformats.org/spreadsheetml/2006/main" count="97" uniqueCount="47">
  <si>
    <t>Date</t>
  </si>
  <si>
    <t>Newspaper</t>
  </si>
  <si>
    <t>Language</t>
  </si>
  <si>
    <t>Edition</t>
  </si>
  <si>
    <t>Cover Price (₹)</t>
  </si>
  <si>
    <t>02/05/26</t>
  </si>
  <si>
    <t>The Navhind Times</t>
  </si>
  <si>
    <t>English</t>
  </si>
  <si>
    <t>Panaji</t>
  </si>
  <si>
    <t>01/04/26</t>
  </si>
  <si>
    <t>The Times of India</t>
  </si>
  <si>
    <t>Mangaluru</t>
  </si>
  <si>
    <t>14/04/26</t>
  </si>
  <si>
    <t>Dina Thanthi</t>
  </si>
  <si>
    <t>Tamil</t>
  </si>
  <si>
    <t>Bengaluru</t>
  </si>
  <si>
    <t>16/04/26</t>
  </si>
  <si>
    <t>Vijaya Karnataka</t>
  </si>
  <si>
    <t>Kannada</t>
  </si>
  <si>
    <t>09/04/26</t>
  </si>
  <si>
    <t>Eenadu</t>
  </si>
  <si>
    <t>Telugu</t>
  </si>
  <si>
    <t>21/04/26</t>
  </si>
  <si>
    <t>Dinamalar</t>
  </si>
  <si>
    <t>17/04/26</t>
  </si>
  <si>
    <t>Mathrubhumi</t>
  </si>
  <si>
    <t>Malayalam</t>
  </si>
  <si>
    <t>Kannur</t>
  </si>
  <si>
    <t>28/03/26</t>
  </si>
  <si>
    <t>Udayavani</t>
  </si>
  <si>
    <t>Manipal</t>
  </si>
  <si>
    <t>31/05/26</t>
  </si>
  <si>
    <t>Lokmat</t>
  </si>
  <si>
    <t>Marathi</t>
  </si>
  <si>
    <t>07/05/26</t>
  </si>
  <si>
    <t>06/04/26</t>
  </si>
  <si>
    <t>22/03/26</t>
  </si>
  <si>
    <t>26/03/26</t>
  </si>
  <si>
    <t>Malayala Manorama</t>
  </si>
  <si>
    <t>Page Count</t>
  </si>
  <si>
    <t>Total Number of Pages</t>
  </si>
  <si>
    <t>Average Page Count</t>
  </si>
  <si>
    <t>Minimum Page Count</t>
  </si>
  <si>
    <t>Maximum Page Count</t>
  </si>
  <si>
    <t>Grand Total</t>
  </si>
  <si>
    <t>Average of Page Count</t>
  </si>
  <si>
    <t>Overall Average Page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</si>
</sst>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₹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1" fillId="0" borderId="0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ander Chris" refreshedDate="46276.649424537034" createdVersion="6" refreshedVersion="6" minRefreshableVersion="3" recordCount="14">
  <cacheSource type="worksheet">
    <worksheetSource ref="A1:F15" sheet="Sheet1"/>
  </cacheSource>
  <cacheFields count="6">
    <cacheField name="Date" numFmtId="0">
      <sharedItems/>
    </cacheField>
    <cacheField name="Newspaper" numFmtId="0">
      <sharedItems count="10">
        <s v="The Navhind Times"/>
        <s v="The Times of India"/>
        <s v="Dina Thanthi"/>
        <s v="Vijaya Karnataka"/>
        <s v="Eenadu"/>
        <s v="Dinamalar"/>
        <s v="Mathrubhumi"/>
        <s v="Udayavani"/>
        <s v="Lokmat"/>
        <s v="Malayala Manorama"/>
      </sharedItems>
    </cacheField>
    <cacheField name="Language" numFmtId="0">
      <sharedItems count="6">
        <s v="English"/>
        <s v="Tamil"/>
        <s v="Kannada"/>
        <s v="Telugu"/>
        <s v="Malayalam"/>
        <s v="Marathi"/>
      </sharedItems>
    </cacheField>
    <cacheField name="Edition" numFmtId="0">
      <sharedItems count="5">
        <s v="Panaji"/>
        <s v="Mangaluru"/>
        <s v="Bengaluru"/>
        <s v="Kannur"/>
        <s v="Manipal"/>
      </sharedItems>
    </cacheField>
    <cacheField name="Cover Price (₹)" numFmtId="164">
      <sharedItems containsSemiMixedTypes="0" containsString="0" containsNumber="1" minValue="5" maxValue="10"/>
    </cacheField>
    <cacheField name="Page Count" numFmtId="0">
      <sharedItems containsSemiMixedTypes="0" containsString="0" containsNumber="1" containsInteger="1" minValue="12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s v="02/05/26"/>
    <x v="0"/>
    <x v="0"/>
    <x v="0"/>
    <n v="10"/>
    <n v="12"/>
  </r>
  <r>
    <s v="01/04/26"/>
    <x v="1"/>
    <x v="0"/>
    <x v="1"/>
    <n v="5"/>
    <n v="24"/>
  </r>
  <r>
    <s v="14/04/26"/>
    <x v="2"/>
    <x v="1"/>
    <x v="2"/>
    <n v="7"/>
    <n v="16"/>
  </r>
  <r>
    <s v="16/04/26"/>
    <x v="3"/>
    <x v="2"/>
    <x v="1"/>
    <n v="5"/>
    <n v="17"/>
  </r>
  <r>
    <s v="09/04/26"/>
    <x v="4"/>
    <x v="3"/>
    <x v="2"/>
    <n v="6.5"/>
    <n v="12"/>
  </r>
  <r>
    <s v="21/04/26"/>
    <x v="5"/>
    <x v="1"/>
    <x v="2"/>
    <n v="8"/>
    <n v="12"/>
  </r>
  <r>
    <s v="17/04/26"/>
    <x v="6"/>
    <x v="4"/>
    <x v="3"/>
    <n v="10"/>
    <n v="18"/>
  </r>
  <r>
    <s v="28/03/26"/>
    <x v="7"/>
    <x v="2"/>
    <x v="4"/>
    <n v="6"/>
    <n v="14"/>
  </r>
  <r>
    <s v="31/05/26"/>
    <x v="8"/>
    <x v="5"/>
    <x v="0"/>
    <n v="6"/>
    <n v="16"/>
  </r>
  <r>
    <s v="07/05/26"/>
    <x v="0"/>
    <x v="0"/>
    <x v="0"/>
    <n v="10"/>
    <n v="12"/>
  </r>
  <r>
    <s v="06/04/26"/>
    <x v="8"/>
    <x v="5"/>
    <x v="0"/>
    <n v="6"/>
    <n v="16"/>
  </r>
  <r>
    <s v="16/04/26"/>
    <x v="4"/>
    <x v="3"/>
    <x v="2"/>
    <n v="6.5"/>
    <n v="14"/>
  </r>
  <r>
    <s v="22/03/26"/>
    <x v="8"/>
    <x v="5"/>
    <x v="0"/>
    <n v="6"/>
    <n v="16"/>
  </r>
  <r>
    <s v="26/03/26"/>
    <x v="9"/>
    <x v="4"/>
    <x v="3"/>
    <n v="10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Language">
  <location ref="A3:B10" firstHeaderRow="1" firstDataRow="1" firstDataCol="1"/>
  <pivotFields count="6">
    <pivotField showAll="0"/>
    <pivotField showAll="0"/>
    <pivotField axis="axisRow" showAll="0" sortType="descending">
      <items count="7">
        <item x="0"/>
        <item x="2"/>
        <item x="4"/>
        <item x="5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showAll="0"/>
  </pivotFields>
  <rowFields count="1">
    <field x="2"/>
  </rowFields>
  <rowItems count="7">
    <i>
      <x v="2"/>
    </i>
    <i>
      <x/>
    </i>
    <i>
      <x v="3"/>
    </i>
    <i>
      <x v="1"/>
    </i>
    <i>
      <x v="4"/>
    </i>
    <i>
      <x v="5"/>
    </i>
    <i t="grand">
      <x/>
    </i>
  </rowItems>
  <colItems count="1">
    <i/>
  </colItems>
  <dataFields count="1">
    <dataField name="Average of Page Count" fld="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Edition">
  <location ref="A3:B9" firstHeaderRow="1" firstDataRow="1" firstDataCol="1"/>
  <pivotFields count="6">
    <pivotField showAll="0"/>
    <pivotField showAll="0"/>
    <pivotField showAll="0"/>
    <pivotField axis="axisRow" showAll="0" sortType="descending">
      <items count="6">
        <item x="2"/>
        <item x="3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showAll="0"/>
  </pivotFields>
  <rowFields count="1">
    <field x="3"/>
  </rowFields>
  <rowItems count="6">
    <i>
      <x v="2"/>
    </i>
    <i>
      <x v="1"/>
    </i>
    <i>
      <x v="4"/>
    </i>
    <i>
      <x v="3"/>
    </i>
    <i>
      <x/>
    </i>
    <i t="grand">
      <x/>
    </i>
  </rowItems>
  <colItems count="1">
    <i/>
  </colItems>
  <dataFields count="1">
    <dataField name="Average of Page Count" fld="5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Newspaper">
  <location ref="A3:B14" firstHeaderRow="1" firstDataRow="1" firstDataCol="1"/>
  <pivotFields count="6">
    <pivotField showAll="0"/>
    <pivotField axis="axisRow" showAll="0" sortType="descending">
      <items count="11">
        <item x="2"/>
        <item x="5"/>
        <item x="4"/>
        <item x="8"/>
        <item x="9"/>
        <item x="6"/>
        <item x="0"/>
        <item x="1"/>
        <item x="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2"/>
        <item x="4"/>
        <item x="5"/>
        <item x="1"/>
        <item x="3"/>
        <item t="default"/>
      </items>
    </pivotField>
    <pivotField showAll="0"/>
    <pivotField numFmtId="164" showAll="0"/>
    <pivotField dataField="1" showAll="0"/>
  </pivotFields>
  <rowFields count="1">
    <field x="1"/>
  </rowFields>
  <rowItems count="11">
    <i>
      <x v="7"/>
    </i>
    <i>
      <x v="5"/>
    </i>
    <i>
      <x v="4"/>
    </i>
    <i>
      <x v="9"/>
    </i>
    <i>
      <x/>
    </i>
    <i>
      <x v="3"/>
    </i>
    <i>
      <x v="8"/>
    </i>
    <i>
      <x v="2"/>
    </i>
    <i>
      <x v="1"/>
    </i>
    <i>
      <x v="6"/>
    </i>
    <i t="grand">
      <x/>
    </i>
  </rowItems>
  <colItems count="1">
    <i/>
  </colItems>
  <dataFields count="1">
    <dataField name="Average of Page Count" fld="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B4" sqref="B4:B9"/>
    </sheetView>
  </sheetViews>
  <sheetFormatPr defaultRowHeight="15" x14ac:dyDescent="0.25"/>
  <cols>
    <col min="1" max="1" width="11.5703125" customWidth="1"/>
    <col min="2" max="2" width="21.42578125" bestFit="1" customWidth="1"/>
  </cols>
  <sheetData>
    <row r="3" spans="1:2" x14ac:dyDescent="0.25">
      <c r="A3" s="6" t="s">
        <v>2</v>
      </c>
      <c r="B3" t="s">
        <v>45</v>
      </c>
    </row>
    <row r="4" spans="1:2" x14ac:dyDescent="0.25">
      <c r="A4" s="7" t="s">
        <v>26</v>
      </c>
      <c r="B4" s="8">
        <v>18</v>
      </c>
    </row>
    <row r="5" spans="1:2" x14ac:dyDescent="0.25">
      <c r="A5" s="7" t="s">
        <v>7</v>
      </c>
      <c r="B5" s="8">
        <v>16</v>
      </c>
    </row>
    <row r="6" spans="1:2" x14ac:dyDescent="0.25">
      <c r="A6" s="7" t="s">
        <v>33</v>
      </c>
      <c r="B6" s="8">
        <v>16</v>
      </c>
    </row>
    <row r="7" spans="1:2" x14ac:dyDescent="0.25">
      <c r="A7" s="7" t="s">
        <v>18</v>
      </c>
      <c r="B7" s="8">
        <v>15.5</v>
      </c>
    </row>
    <row r="8" spans="1:2" x14ac:dyDescent="0.25">
      <c r="A8" s="7" t="s">
        <v>14</v>
      </c>
      <c r="B8" s="8">
        <v>14</v>
      </c>
    </row>
    <row r="9" spans="1:2" x14ac:dyDescent="0.25">
      <c r="A9" s="7" t="s">
        <v>21</v>
      </c>
      <c r="B9" s="8">
        <v>13</v>
      </c>
    </row>
    <row r="10" spans="1:2" x14ac:dyDescent="0.25">
      <c r="A10" s="7" t="s">
        <v>44</v>
      </c>
      <c r="B10" s="8">
        <v>15.5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zoomScaleNormal="100" workbookViewId="0">
      <selection activeCell="B4" sqref="B4:B8"/>
    </sheetView>
  </sheetViews>
  <sheetFormatPr defaultRowHeight="15" x14ac:dyDescent="0.25"/>
  <cols>
    <col min="1" max="1" width="11.28515625" customWidth="1"/>
    <col min="2" max="2" width="21.42578125" bestFit="1" customWidth="1"/>
  </cols>
  <sheetData>
    <row r="3" spans="1:2" x14ac:dyDescent="0.25">
      <c r="A3" s="6" t="s">
        <v>3</v>
      </c>
      <c r="B3" t="s">
        <v>45</v>
      </c>
    </row>
    <row r="4" spans="1:2" x14ac:dyDescent="0.25">
      <c r="A4" s="7" t="s">
        <v>11</v>
      </c>
      <c r="B4" s="8">
        <v>20.5</v>
      </c>
    </row>
    <row r="5" spans="1:2" x14ac:dyDescent="0.25">
      <c r="A5" s="7" t="s">
        <v>27</v>
      </c>
      <c r="B5" s="8">
        <v>18</v>
      </c>
    </row>
    <row r="6" spans="1:2" x14ac:dyDescent="0.25">
      <c r="A6" s="7" t="s">
        <v>8</v>
      </c>
      <c r="B6" s="8">
        <v>14.4</v>
      </c>
    </row>
    <row r="7" spans="1:2" x14ac:dyDescent="0.25">
      <c r="A7" s="7" t="s">
        <v>30</v>
      </c>
      <c r="B7" s="8">
        <v>14</v>
      </c>
    </row>
    <row r="8" spans="1:2" x14ac:dyDescent="0.25">
      <c r="A8" s="7" t="s">
        <v>15</v>
      </c>
      <c r="B8" s="8">
        <v>13.5</v>
      </c>
    </row>
    <row r="9" spans="1:2" x14ac:dyDescent="0.25">
      <c r="A9" s="7" t="s">
        <v>44</v>
      </c>
      <c r="B9" s="8">
        <v>15.5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4" sqref="A4"/>
    </sheetView>
  </sheetViews>
  <sheetFormatPr defaultRowHeight="15" x14ac:dyDescent="0.25"/>
  <cols>
    <col min="1" max="1" width="19" customWidth="1"/>
    <col min="2" max="2" width="21.42578125" bestFit="1" customWidth="1"/>
  </cols>
  <sheetData>
    <row r="3" spans="1:2" x14ac:dyDescent="0.25">
      <c r="A3" s="6" t="s">
        <v>1</v>
      </c>
      <c r="B3" t="s">
        <v>45</v>
      </c>
    </row>
    <row r="4" spans="1:2" x14ac:dyDescent="0.25">
      <c r="A4" s="7" t="s">
        <v>10</v>
      </c>
      <c r="B4" s="8">
        <v>24</v>
      </c>
    </row>
    <row r="5" spans="1:2" x14ac:dyDescent="0.25">
      <c r="A5" s="7" t="s">
        <v>25</v>
      </c>
      <c r="B5" s="8">
        <v>18</v>
      </c>
    </row>
    <row r="6" spans="1:2" x14ac:dyDescent="0.25">
      <c r="A6" s="7" t="s">
        <v>38</v>
      </c>
      <c r="B6" s="8">
        <v>18</v>
      </c>
    </row>
    <row r="7" spans="1:2" x14ac:dyDescent="0.25">
      <c r="A7" s="7" t="s">
        <v>17</v>
      </c>
      <c r="B7" s="8">
        <v>17</v>
      </c>
    </row>
    <row r="8" spans="1:2" x14ac:dyDescent="0.25">
      <c r="A8" s="7" t="s">
        <v>13</v>
      </c>
      <c r="B8" s="8">
        <v>16</v>
      </c>
    </row>
    <row r="9" spans="1:2" x14ac:dyDescent="0.25">
      <c r="A9" s="7" t="s">
        <v>32</v>
      </c>
      <c r="B9" s="8">
        <v>16</v>
      </c>
    </row>
    <row r="10" spans="1:2" x14ac:dyDescent="0.25">
      <c r="A10" s="7" t="s">
        <v>29</v>
      </c>
      <c r="B10" s="8">
        <v>14</v>
      </c>
    </row>
    <row r="11" spans="1:2" x14ac:dyDescent="0.25">
      <c r="A11" s="7" t="s">
        <v>20</v>
      </c>
      <c r="B11" s="8">
        <v>13</v>
      </c>
    </row>
    <row r="12" spans="1:2" x14ac:dyDescent="0.25">
      <c r="A12" s="7" t="s">
        <v>23</v>
      </c>
      <c r="B12" s="8">
        <v>12</v>
      </c>
    </row>
    <row r="13" spans="1:2" x14ac:dyDescent="0.25">
      <c r="A13" s="7" t="s">
        <v>6</v>
      </c>
      <c r="B13" s="8">
        <v>12</v>
      </c>
    </row>
    <row r="14" spans="1:2" x14ac:dyDescent="0.25">
      <c r="A14" s="7" t="s">
        <v>44</v>
      </c>
      <c r="B14" s="8">
        <v>15.5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E20" sqref="E20"/>
    </sheetView>
  </sheetViews>
  <sheetFormatPr defaultRowHeight="15" x14ac:dyDescent="0.25"/>
  <cols>
    <col min="1" max="1" width="13" customWidth="1"/>
    <col min="2" max="2" width="24" customWidth="1"/>
    <col min="3" max="3" width="14" customWidth="1"/>
    <col min="4" max="4" width="18" customWidth="1"/>
    <col min="5" max="5" width="17" customWidth="1"/>
    <col min="6" max="6" width="11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39</v>
      </c>
    </row>
    <row r="2" spans="1:6" x14ac:dyDescent="0.25">
      <c r="A2" s="2" t="s">
        <v>5</v>
      </c>
      <c r="B2" s="3" t="s">
        <v>6</v>
      </c>
      <c r="C2" s="3" t="s">
        <v>7</v>
      </c>
      <c r="D2" s="3" t="s">
        <v>8</v>
      </c>
      <c r="E2" s="4">
        <v>10</v>
      </c>
      <c r="F2">
        <v>12</v>
      </c>
    </row>
    <row r="3" spans="1:6" x14ac:dyDescent="0.25">
      <c r="A3" s="2" t="s">
        <v>9</v>
      </c>
      <c r="B3" s="3" t="s">
        <v>10</v>
      </c>
      <c r="C3" s="3" t="s">
        <v>7</v>
      </c>
      <c r="D3" s="3" t="s">
        <v>11</v>
      </c>
      <c r="E3" s="4">
        <v>5</v>
      </c>
      <c r="F3">
        <v>24</v>
      </c>
    </row>
    <row r="4" spans="1:6" x14ac:dyDescent="0.25">
      <c r="A4" s="2" t="s">
        <v>12</v>
      </c>
      <c r="B4" s="3" t="s">
        <v>13</v>
      </c>
      <c r="C4" s="3" t="s">
        <v>14</v>
      </c>
      <c r="D4" s="3" t="s">
        <v>15</v>
      </c>
      <c r="E4" s="4">
        <v>7</v>
      </c>
      <c r="F4">
        <v>16</v>
      </c>
    </row>
    <row r="5" spans="1:6" x14ac:dyDescent="0.25">
      <c r="A5" s="2" t="s">
        <v>16</v>
      </c>
      <c r="B5" s="3" t="s">
        <v>17</v>
      </c>
      <c r="C5" s="3" t="s">
        <v>18</v>
      </c>
      <c r="D5" s="3" t="s">
        <v>11</v>
      </c>
      <c r="E5" s="4">
        <v>5</v>
      </c>
      <c r="F5">
        <v>17</v>
      </c>
    </row>
    <row r="6" spans="1:6" x14ac:dyDescent="0.25">
      <c r="A6" s="2" t="s">
        <v>19</v>
      </c>
      <c r="B6" s="3" t="s">
        <v>20</v>
      </c>
      <c r="C6" s="3" t="s">
        <v>21</v>
      </c>
      <c r="D6" s="3" t="s">
        <v>15</v>
      </c>
      <c r="E6" s="4">
        <v>6.5</v>
      </c>
      <c r="F6">
        <v>12</v>
      </c>
    </row>
    <row r="7" spans="1:6" x14ac:dyDescent="0.25">
      <c r="A7" s="2" t="s">
        <v>22</v>
      </c>
      <c r="B7" s="3" t="s">
        <v>23</v>
      </c>
      <c r="C7" s="3" t="s">
        <v>14</v>
      </c>
      <c r="D7" s="3" t="s">
        <v>15</v>
      </c>
      <c r="E7" s="4">
        <v>8</v>
      </c>
      <c r="F7">
        <v>12</v>
      </c>
    </row>
    <row r="8" spans="1:6" x14ac:dyDescent="0.25">
      <c r="A8" s="2" t="s">
        <v>24</v>
      </c>
      <c r="B8" s="3" t="s">
        <v>25</v>
      </c>
      <c r="C8" s="3" t="s">
        <v>26</v>
      </c>
      <c r="D8" s="3" t="s">
        <v>27</v>
      </c>
      <c r="E8" s="4">
        <v>10</v>
      </c>
      <c r="F8">
        <v>18</v>
      </c>
    </row>
    <row r="9" spans="1:6" x14ac:dyDescent="0.25">
      <c r="A9" s="2" t="s">
        <v>28</v>
      </c>
      <c r="B9" s="3" t="s">
        <v>29</v>
      </c>
      <c r="C9" s="3" t="s">
        <v>18</v>
      </c>
      <c r="D9" s="3" t="s">
        <v>30</v>
      </c>
      <c r="E9" s="4">
        <v>6</v>
      </c>
      <c r="F9">
        <v>14</v>
      </c>
    </row>
    <row r="10" spans="1:6" x14ac:dyDescent="0.25">
      <c r="A10" s="2" t="s">
        <v>31</v>
      </c>
      <c r="B10" s="3" t="s">
        <v>32</v>
      </c>
      <c r="C10" s="3" t="s">
        <v>33</v>
      </c>
      <c r="D10" s="3" t="s">
        <v>8</v>
      </c>
      <c r="E10" s="4">
        <v>6</v>
      </c>
      <c r="F10">
        <v>16</v>
      </c>
    </row>
    <row r="11" spans="1:6" x14ac:dyDescent="0.25">
      <c r="A11" s="2" t="s">
        <v>34</v>
      </c>
      <c r="B11" s="3" t="s">
        <v>6</v>
      </c>
      <c r="C11" s="3" t="s">
        <v>7</v>
      </c>
      <c r="D11" s="3" t="s">
        <v>8</v>
      </c>
      <c r="E11" s="4">
        <v>10</v>
      </c>
      <c r="F11">
        <v>12</v>
      </c>
    </row>
    <row r="12" spans="1:6" x14ac:dyDescent="0.25">
      <c r="A12" s="2" t="s">
        <v>35</v>
      </c>
      <c r="B12" s="3" t="s">
        <v>32</v>
      </c>
      <c r="C12" s="3" t="s">
        <v>33</v>
      </c>
      <c r="D12" s="3" t="s">
        <v>8</v>
      </c>
      <c r="E12" s="4">
        <v>6</v>
      </c>
      <c r="F12">
        <v>16</v>
      </c>
    </row>
    <row r="13" spans="1:6" x14ac:dyDescent="0.25">
      <c r="A13" s="2" t="s">
        <v>16</v>
      </c>
      <c r="B13" s="3" t="s">
        <v>20</v>
      </c>
      <c r="C13" s="3" t="s">
        <v>21</v>
      </c>
      <c r="D13" s="3" t="s">
        <v>15</v>
      </c>
      <c r="E13" s="4">
        <v>6.5</v>
      </c>
      <c r="F13">
        <v>14</v>
      </c>
    </row>
    <row r="14" spans="1:6" x14ac:dyDescent="0.25">
      <c r="A14" s="2" t="s">
        <v>36</v>
      </c>
      <c r="B14" s="3" t="s">
        <v>32</v>
      </c>
      <c r="C14" s="3" t="s">
        <v>33</v>
      </c>
      <c r="D14" s="3" t="s">
        <v>8</v>
      </c>
      <c r="E14" s="4">
        <v>6</v>
      </c>
      <c r="F14">
        <v>16</v>
      </c>
    </row>
    <row r="15" spans="1:6" x14ac:dyDescent="0.25">
      <c r="A15" s="2" t="s">
        <v>37</v>
      </c>
      <c r="B15" s="3" t="s">
        <v>38</v>
      </c>
      <c r="C15" s="3" t="s">
        <v>26</v>
      </c>
      <c r="D15" s="3" t="s">
        <v>27</v>
      </c>
      <c r="E15" s="4">
        <v>10</v>
      </c>
      <c r="F15">
        <v>18</v>
      </c>
    </row>
    <row r="17" spans="2:3" x14ac:dyDescent="0.25">
      <c r="B17" t="s">
        <v>40</v>
      </c>
      <c r="C17">
        <f>SUM(F2:F15)</f>
        <v>217</v>
      </c>
    </row>
    <row r="18" spans="2:3" x14ac:dyDescent="0.25">
      <c r="B18" t="s">
        <v>41</v>
      </c>
      <c r="C18">
        <f>AVERAGE(F2:F15)</f>
        <v>15.5</v>
      </c>
    </row>
    <row r="19" spans="2:3" x14ac:dyDescent="0.25">
      <c r="B19" t="s">
        <v>42</v>
      </c>
      <c r="C19">
        <f>MIN(F2:F15)</f>
        <v>12</v>
      </c>
    </row>
    <row r="20" spans="2:3" x14ac:dyDescent="0.25">
      <c r="B20" t="s">
        <v>43</v>
      </c>
      <c r="C20">
        <f>MAX(F2:F15)</f>
        <v>24</v>
      </c>
    </row>
    <row r="21" spans="2:3" x14ac:dyDescent="0.25">
      <c r="B21" t="s">
        <v>46</v>
      </c>
      <c r="C21">
        <f>COUNTIF(F2:F15, "&gt;" &amp; AVERAGE(F2:F15))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Chris</dc:creator>
  <cp:lastModifiedBy>Leander Chris</cp:lastModifiedBy>
  <dcterms:created xsi:type="dcterms:W3CDTF">2026-09-11T05:46:40Z</dcterms:created>
  <dcterms:modified xsi:type="dcterms:W3CDTF">2026-09-11T10:13:27Z</dcterms:modified>
</cp:coreProperties>
</file>